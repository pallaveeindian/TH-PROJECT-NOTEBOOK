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F8ED8C-2478-4FEF-93A9-C5055F49FC8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ject Plan Revis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2" l="1"/>
  <c r="G45" i="2"/>
  <c r="F43" i="2"/>
  <c r="F42" i="2"/>
  <c r="F46" i="2"/>
  <c r="F45" i="2"/>
  <c r="E46" i="2"/>
  <c r="G46" i="2" s="1"/>
  <c r="G8" i="2"/>
  <c r="G14" i="2"/>
  <c r="G17" i="2"/>
  <c r="G31" i="2"/>
  <c r="G37" i="2"/>
  <c r="G38" i="2"/>
  <c r="G39" i="2"/>
  <c r="G40" i="2"/>
  <c r="G41" i="2"/>
  <c r="G34" i="2"/>
  <c r="G33" i="2"/>
  <c r="G73" i="2"/>
  <c r="F68" i="2"/>
  <c r="F62" i="2"/>
  <c r="F52" i="2"/>
  <c r="G68" i="2"/>
  <c r="G62" i="2"/>
  <c r="G52" i="2"/>
  <c r="G32" i="2"/>
  <c r="G30" i="2"/>
  <c r="G23" i="2"/>
  <c r="G29" i="2"/>
  <c r="G28" i="2"/>
  <c r="G27" i="2"/>
  <c r="G26" i="2"/>
  <c r="G25" i="2"/>
  <c r="G22" i="2"/>
  <c r="G21" i="2"/>
  <c r="G18" i="2"/>
  <c r="G19" i="2"/>
  <c r="G13" i="2"/>
  <c r="G20" i="2"/>
  <c r="G10" i="2"/>
  <c r="G11" i="2"/>
  <c r="G12" i="2"/>
  <c r="G9" i="2"/>
  <c r="G7" i="2"/>
  <c r="G5" i="2"/>
</calcChain>
</file>

<file path=xl/sharedStrings.xml><?xml version="1.0" encoding="utf-8"?>
<sst xmlns="http://schemas.openxmlformats.org/spreadsheetml/2006/main" count="371" uniqueCount="173">
  <si>
    <t>Project Plan for PMU for the Development of an Integrated MIS for effective implementation and Monitoring of Programs under UPSRLM, Lucknow</t>
  </si>
  <si>
    <t>Document No.</t>
  </si>
  <si>
    <t>BDO/P/UPSRLM/01</t>
  </si>
  <si>
    <t>BDO India LLP</t>
  </si>
  <si>
    <t>Rev. No.</t>
  </si>
  <si>
    <t>#</t>
  </si>
  <si>
    <t>WBS</t>
  </si>
  <si>
    <t>Task Name</t>
  </si>
  <si>
    <t>Resource Name</t>
  </si>
  <si>
    <t>Start Date</t>
  </si>
  <si>
    <t>End Date</t>
  </si>
  <si>
    <t>Days</t>
  </si>
  <si>
    <t>Status</t>
  </si>
  <si>
    <t>Remark</t>
  </si>
  <si>
    <t>Project Start Date</t>
  </si>
  <si>
    <t>PMU</t>
  </si>
  <si>
    <t>Ongoing</t>
  </si>
  <si>
    <t>-</t>
  </si>
  <si>
    <t>Project UPSRLM Implementation_Pilot Go-Live</t>
  </si>
  <si>
    <t>Project Preparation</t>
  </si>
  <si>
    <t>Completed</t>
  </si>
  <si>
    <t>2.1.1</t>
  </si>
  <si>
    <t>Project Charter and Governance</t>
  </si>
  <si>
    <t>2.1.1.1</t>
  </si>
  <si>
    <t>Define Project Goals and Objectives</t>
  </si>
  <si>
    <t>2.1.1.2</t>
  </si>
  <si>
    <t>Organisation Structure,Committees &amp; Standards</t>
  </si>
  <si>
    <t>2.1.1.3</t>
  </si>
  <si>
    <t>Stakeholder and Committee Identification</t>
  </si>
  <si>
    <t>2.1.1.4</t>
  </si>
  <si>
    <t>Communication Management Plan</t>
  </si>
  <si>
    <t>2.1.1.5</t>
  </si>
  <si>
    <t>Risk &amp; Escalation Framework</t>
  </si>
  <si>
    <t>2.1.2</t>
  </si>
  <si>
    <t>Team Mobilisation and Onbaording</t>
  </si>
  <si>
    <t>2.1.2.1</t>
  </si>
  <si>
    <t>Identify and arrnage Infracture for Project Team</t>
  </si>
  <si>
    <t>2.1.2.2</t>
  </si>
  <si>
    <t xml:space="preserve">Onboarding Project Team and signoff </t>
  </si>
  <si>
    <t>UPSRLM &amp; PMU</t>
  </si>
  <si>
    <t>Submitted</t>
  </si>
  <si>
    <t>2.1.3</t>
  </si>
  <si>
    <t>AS-IS &amp; Security Study</t>
  </si>
  <si>
    <t>2.1.3.1</t>
  </si>
  <si>
    <t>Requirement Gathering Workshop  and Sign-off -Monitoring through Reports/Dashboards Version 1</t>
  </si>
  <si>
    <t>PMU &amp; UPSRLM</t>
  </si>
  <si>
    <t>2.1.3.2</t>
  </si>
  <si>
    <t>Requirement Gathering Workshop  and Sign-off -Benificiary/User management Version 1</t>
  </si>
  <si>
    <t>2.1.3.3</t>
  </si>
  <si>
    <t>Requirement Gathering Workshop  and Sign-off -Training Management System Version 1</t>
  </si>
  <si>
    <t>2.1.3.4</t>
  </si>
  <si>
    <t>Requirement Gathering Workshop  and Sign-off -Enterprise Sakhi Management System Version 1</t>
  </si>
  <si>
    <t>2.1.3.5</t>
  </si>
  <si>
    <t>Requirement Gathering Workshop  and Sign-off -Lakhpati Didi Management System Version 1</t>
  </si>
  <si>
    <t>2.1.3.7</t>
  </si>
  <si>
    <t xml:space="preserve">Release Draft Version of AS-IS Documents for review </t>
  </si>
  <si>
    <t xml:space="preserve">PMU </t>
  </si>
  <si>
    <t>2.1.3.8</t>
  </si>
  <si>
    <t>Review and adopt recommendation - Final Version AS-IS
Document for Review - all modules</t>
  </si>
  <si>
    <t>2.1.3.9</t>
  </si>
  <si>
    <t>Release Draft Version of AS-IS Document  and Sign-off -Monitoring through Reports/Dashboards Version 2</t>
  </si>
  <si>
    <t>2.1.3.10</t>
  </si>
  <si>
    <t>Release Draft Version of AS-IS Document  and Sign-off -Benificiary/User management Version 2</t>
  </si>
  <si>
    <t>2.1.3.11</t>
  </si>
  <si>
    <t>Release Draft Version of AS-IS Document  and Sign-off -Training Management System Version 2</t>
  </si>
  <si>
    <t>2.1.3.12</t>
  </si>
  <si>
    <t>Release Draft Version of AS-IS Document  and Sign-off -Enterprise Sakhi Management System Version 2</t>
  </si>
  <si>
    <t>2.1.3.13</t>
  </si>
  <si>
    <t>Release Draft Version of AS-IS Document  and Sign-off -Lakhpati Didi Management System Version 2</t>
  </si>
  <si>
    <t>2.1.3.14</t>
  </si>
  <si>
    <t>Sign off Final Version of AS-IS Documents of all modules</t>
  </si>
  <si>
    <t>2.1.5</t>
  </si>
  <si>
    <t>System Analysis and Design(To-Be Process) Workshops -</t>
  </si>
  <si>
    <t>2.1.5.1</t>
  </si>
  <si>
    <t>FRS Documentation-Beneficiary Management System</t>
  </si>
  <si>
    <t>2.1.5.2</t>
  </si>
  <si>
    <t>FRS Documentation-Training Management System</t>
  </si>
  <si>
    <t>2.1.5.3</t>
  </si>
  <si>
    <t>FRS Documentaion -Enterprise Sakhi Management System</t>
  </si>
  <si>
    <t>2.1.5.4</t>
  </si>
  <si>
    <t>FRS Documentaion -Monitoring through Reports/Dashboards</t>
  </si>
  <si>
    <t>On Hold by Department</t>
  </si>
  <si>
    <t>FRS of Power BI Dashboard Module shall be kept on hold as the official handover sessions need to be scheduled by the GDI team</t>
  </si>
  <si>
    <t>2.1.5.5</t>
  </si>
  <si>
    <t>FRS Documentation -Lakhpati Didi Management System</t>
  </si>
  <si>
    <t>FRS of Lakhpati Didi Module shall be kept on hold as the technical understanding of AEP, and VPRP plan from LokOS master data is currently un-available</t>
  </si>
  <si>
    <t>2.1.5.6</t>
  </si>
  <si>
    <t>Finalise FRS  Sign-off-All Modules</t>
  </si>
  <si>
    <t>2.1.5.7</t>
  </si>
  <si>
    <t>SRS Documentation-Beneficiary Management System</t>
  </si>
  <si>
    <t>2.1.5.8</t>
  </si>
  <si>
    <t>SRS Documentation-Training Management System</t>
  </si>
  <si>
    <t>2.1.5.9</t>
  </si>
  <si>
    <t>SRS Documentaion -Enterprise Sakhi Management System</t>
  </si>
  <si>
    <t>2.1.5.10</t>
  </si>
  <si>
    <t>Finalise SRS  Sign-off-All Modules</t>
  </si>
  <si>
    <t>2.1.6</t>
  </si>
  <si>
    <t>System Development</t>
  </si>
  <si>
    <t>2.1.6.1</t>
  </si>
  <si>
    <t>Create Master data for all Modules with scalability</t>
  </si>
  <si>
    <t>2.1.6.2</t>
  </si>
  <si>
    <t>Coding--Beneficiary Management System</t>
  </si>
  <si>
    <t>2.1.6.3</t>
  </si>
  <si>
    <t>Coding--Training Management System</t>
  </si>
  <si>
    <t>2.1.6.4</t>
  </si>
  <si>
    <t>Coding--Enterprise Sakhi Management System</t>
  </si>
  <si>
    <t>2.1.6.5</t>
  </si>
  <si>
    <t>Integration of all modules</t>
  </si>
  <si>
    <t>2.1.7</t>
  </si>
  <si>
    <t>Testing</t>
  </si>
  <si>
    <t>Planned</t>
  </si>
  <si>
    <t>2.1.7.1</t>
  </si>
  <si>
    <t>QA Testing</t>
  </si>
  <si>
    <t>2.1.7.2</t>
  </si>
  <si>
    <t>Functional Testing</t>
  </si>
  <si>
    <t>2.1.7.3</t>
  </si>
  <si>
    <t>User Inerface Testing</t>
  </si>
  <si>
    <t>2.1.7.4</t>
  </si>
  <si>
    <t>Usability Testing</t>
  </si>
  <si>
    <t>2.1.7.5</t>
  </si>
  <si>
    <t>Compatibility Testing</t>
  </si>
  <si>
    <t>2.1.7.6</t>
  </si>
  <si>
    <t>Performance Testing</t>
  </si>
  <si>
    <t>2.1.7.7</t>
  </si>
  <si>
    <t>Security Testing</t>
  </si>
  <si>
    <t>2.1.7.8</t>
  </si>
  <si>
    <t xml:space="preserve">UAT Report </t>
  </si>
  <si>
    <t>2.1.7.9</t>
  </si>
  <si>
    <t>Prepared SOP of all modules</t>
  </si>
  <si>
    <t>2.1.8</t>
  </si>
  <si>
    <t>Training</t>
  </si>
  <si>
    <t>2.1.8.1</t>
  </si>
  <si>
    <t>Training Needs Assessment</t>
  </si>
  <si>
    <t>2.1.8.2</t>
  </si>
  <si>
    <t>Training Material Development</t>
  </si>
  <si>
    <t>2.1.8.3</t>
  </si>
  <si>
    <t xml:space="preserve">ToT Program </t>
  </si>
  <si>
    <t>2.1.8.4</t>
  </si>
  <si>
    <t>State/District/Block Trainings</t>
  </si>
  <si>
    <t>2.1.8.5</t>
  </si>
  <si>
    <t>Training Report &amp; Sign-off</t>
  </si>
  <si>
    <t>2.1.9</t>
  </si>
  <si>
    <t>Go-Live</t>
  </si>
  <si>
    <t>2.1.9.1</t>
  </si>
  <si>
    <t>Go-Live Readiness Review</t>
  </si>
  <si>
    <t>2.1.9.2</t>
  </si>
  <si>
    <t>Pilot Go-Live</t>
  </si>
  <si>
    <t>2.1.9.3</t>
  </si>
  <si>
    <t>Pilot Stabilisation</t>
  </si>
  <si>
    <t>2.1.9.4</t>
  </si>
  <si>
    <t>Statewide Rollout &amp; Sign-off</t>
  </si>
  <si>
    <t>2.1.10</t>
  </si>
  <si>
    <t>O&amp;M Phase</t>
  </si>
  <si>
    <t>2.1.10.1</t>
  </si>
  <si>
    <t>Application Support (L1-L3)</t>
  </si>
  <si>
    <t>2.1.10.2</t>
  </si>
  <si>
    <t>Quality Management</t>
  </si>
  <si>
    <t>2.1.10.3</t>
  </si>
  <si>
    <t>Risk &amp; Issue Management</t>
  </si>
  <si>
    <t>2.1.10.4</t>
  </si>
  <si>
    <t>Compliance &amp; Legal Reporting</t>
  </si>
  <si>
    <t>2.1.10.5</t>
  </si>
  <si>
    <t>BCP &amp; Disaster Recovery</t>
  </si>
  <si>
    <t>2.1.10.6</t>
  </si>
  <si>
    <t>Knowledge Transfer &amp; Exit</t>
  </si>
  <si>
    <t>2.1.5.11</t>
  </si>
  <si>
    <t>PoC Documentation-Beneficiary Management System</t>
  </si>
  <si>
    <t>PoC Documentation-Training Management System</t>
  </si>
  <si>
    <t>PoC Documentation-Enterprise Sakhi Management System</t>
  </si>
  <si>
    <t>Finalize PoC Sign-off-All Modules</t>
  </si>
  <si>
    <t>2.1.5.12</t>
  </si>
  <si>
    <t>2.1.5.13</t>
  </si>
  <si>
    <t>2.1.5.14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</si>
</sst>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4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14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69850</xdr:rowOff>
    </xdr:from>
    <xdr:to>
      <xdr:col>1</xdr:col>
      <xdr:colOff>519530</xdr:colOff>
      <xdr:row>0</xdr:row>
      <xdr:rowOff>548640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AC86D-D50B-4FBB-A599-874AD00C5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9850"/>
          <a:ext cx="1026260" cy="4787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31" zoomScale="130" zoomScaleNormal="130" workbookViewId="0">
      <selection activeCell="F44" sqref="F44"/>
    </sheetView>
  </sheetViews>
  <sheetFormatPr defaultColWidth="8.85546875" defaultRowHeight="15" x14ac:dyDescent="0.25"/>
  <cols>
    <col min="1" max="1" width="8.85546875" style="7" customWidth="1"/>
    <col min="2" max="2" width="8.85546875" style="7" bestFit="1" customWidth="1"/>
    <col min="3" max="3" width="107.140625" style="7" customWidth="1"/>
    <col min="4" max="4" width="14.85546875" style="7" customWidth="1"/>
    <col min="5" max="5" width="12.28515625" style="7" customWidth="1"/>
    <col min="6" max="6" width="11.5703125" style="7" bestFit="1" customWidth="1"/>
    <col min="7" max="7" width="12.7109375" style="5" bestFit="1" customWidth="1"/>
    <col min="8" max="8" width="31.85546875" style="7" bestFit="1" customWidth="1"/>
    <col min="9" max="9" width="36.7109375" style="7" customWidth="1"/>
    <col min="10" max="10" width="8.85546875" style="7"/>
    <col min="11" max="11" width="10.42578125" style="7" bestFit="1" customWidth="1"/>
    <col min="12" max="16384" width="8.85546875" style="7"/>
  </cols>
  <sheetData>
    <row r="1" spans="1:9" ht="49.15" customHeight="1" x14ac:dyDescent="0.25">
      <c r="A1" s="30"/>
      <c r="B1" s="30"/>
      <c r="C1" s="6" t="s">
        <v>0</v>
      </c>
      <c r="D1" s="31" t="s">
        <v>1</v>
      </c>
      <c r="E1" s="32"/>
      <c r="F1" s="2" t="s">
        <v>2</v>
      </c>
      <c r="G1" s="33" t="s">
        <v>3</v>
      </c>
    </row>
    <row r="2" spans="1:9" x14ac:dyDescent="0.25">
      <c r="D2" s="31" t="s">
        <v>4</v>
      </c>
      <c r="E2" s="32"/>
      <c r="F2" s="1">
        <v>1</v>
      </c>
      <c r="G2" s="33"/>
    </row>
    <row r="4" spans="1:9" x14ac:dyDescent="0.25">
      <c r="A4" s="8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</row>
    <row r="5" spans="1:9" x14ac:dyDescent="0.25">
      <c r="A5" s="4">
        <v>1</v>
      </c>
      <c r="B5" s="3">
        <v>1</v>
      </c>
      <c r="C5" s="3" t="s">
        <v>14</v>
      </c>
      <c r="D5" s="3" t="s">
        <v>15</v>
      </c>
      <c r="E5" s="10">
        <v>45908</v>
      </c>
      <c r="F5" s="10">
        <v>47004</v>
      </c>
      <c r="G5" s="4">
        <f>F5-E5</f>
        <v>1096</v>
      </c>
      <c r="H5" s="3" t="s">
        <v>16</v>
      </c>
      <c r="I5" s="11" t="s">
        <v>17</v>
      </c>
    </row>
    <row r="6" spans="1:9" x14ac:dyDescent="0.25">
      <c r="A6" s="4">
        <v>2</v>
      </c>
      <c r="B6" s="12">
        <v>2</v>
      </c>
      <c r="C6" s="12" t="s">
        <v>18</v>
      </c>
      <c r="D6" s="12" t="s">
        <v>15</v>
      </c>
      <c r="E6" s="13">
        <v>45908</v>
      </c>
      <c r="F6" s="13">
        <v>47004</v>
      </c>
      <c r="G6" s="14">
        <v>1096</v>
      </c>
      <c r="H6" s="12" t="s">
        <v>16</v>
      </c>
      <c r="I6" s="11" t="s">
        <v>17</v>
      </c>
    </row>
    <row r="7" spans="1:9" x14ac:dyDescent="0.25">
      <c r="A7" s="4">
        <v>3</v>
      </c>
      <c r="B7" s="15">
        <v>2.1</v>
      </c>
      <c r="C7" s="15" t="s">
        <v>19</v>
      </c>
      <c r="D7" s="3" t="s">
        <v>15</v>
      </c>
      <c r="E7" s="10"/>
      <c r="F7" s="10"/>
      <c r="G7" s="4">
        <f>F7-E7</f>
        <v>0</v>
      </c>
      <c r="H7" s="3" t="s">
        <v>20</v>
      </c>
      <c r="I7" s="11" t="s">
        <v>17</v>
      </c>
    </row>
    <row r="8" spans="1:9" x14ac:dyDescent="0.25">
      <c r="A8" s="4">
        <v>4</v>
      </c>
      <c r="B8" s="16" t="s">
        <v>21</v>
      </c>
      <c r="C8" s="16" t="s">
        <v>22</v>
      </c>
      <c r="D8" s="17" t="s">
        <v>15</v>
      </c>
      <c r="E8" s="18">
        <v>45912</v>
      </c>
      <c r="F8" s="18">
        <v>45915</v>
      </c>
      <c r="G8" s="19">
        <f>F8-E8</f>
        <v>3</v>
      </c>
      <c r="H8" s="17"/>
      <c r="I8" s="11" t="s">
        <v>17</v>
      </c>
    </row>
    <row r="9" spans="1:9" x14ac:dyDescent="0.25">
      <c r="A9" s="4">
        <v>5</v>
      </c>
      <c r="B9" s="3" t="s">
        <v>23</v>
      </c>
      <c r="C9" s="3" t="s">
        <v>24</v>
      </c>
      <c r="D9" s="3" t="s">
        <v>15</v>
      </c>
      <c r="E9" s="10">
        <v>45912</v>
      </c>
      <c r="F9" s="10">
        <v>45915</v>
      </c>
      <c r="G9" s="4">
        <f>F9-E9</f>
        <v>3</v>
      </c>
      <c r="H9" s="3" t="s">
        <v>20</v>
      </c>
      <c r="I9" s="11" t="s">
        <v>17</v>
      </c>
    </row>
    <row r="10" spans="1:9" x14ac:dyDescent="0.25">
      <c r="A10" s="4">
        <v>6</v>
      </c>
      <c r="B10" s="3" t="s">
        <v>25</v>
      </c>
      <c r="C10" s="3" t="s">
        <v>26</v>
      </c>
      <c r="D10" s="3" t="s">
        <v>15</v>
      </c>
      <c r="E10" s="10">
        <v>45912</v>
      </c>
      <c r="F10" s="10">
        <v>45915</v>
      </c>
      <c r="G10" s="4">
        <f t="shared" ref="G10:G12" si="0">F10-E10</f>
        <v>3</v>
      </c>
      <c r="H10" s="3" t="s">
        <v>20</v>
      </c>
      <c r="I10" s="11" t="s">
        <v>17</v>
      </c>
    </row>
    <row r="11" spans="1:9" x14ac:dyDescent="0.25">
      <c r="A11" s="4">
        <v>7</v>
      </c>
      <c r="B11" s="3" t="s">
        <v>27</v>
      </c>
      <c r="C11" s="3" t="s">
        <v>28</v>
      </c>
      <c r="D11" s="3" t="s">
        <v>15</v>
      </c>
      <c r="E11" s="10">
        <v>45912</v>
      </c>
      <c r="F11" s="10">
        <v>45915</v>
      </c>
      <c r="G11" s="4">
        <f t="shared" si="0"/>
        <v>3</v>
      </c>
      <c r="H11" s="3" t="s">
        <v>20</v>
      </c>
      <c r="I11" s="11" t="s">
        <v>17</v>
      </c>
    </row>
    <row r="12" spans="1:9" x14ac:dyDescent="0.25">
      <c r="A12" s="4">
        <v>8</v>
      </c>
      <c r="B12" s="3" t="s">
        <v>29</v>
      </c>
      <c r="C12" s="3" t="s">
        <v>30</v>
      </c>
      <c r="D12" s="3" t="s">
        <v>15</v>
      </c>
      <c r="E12" s="10">
        <v>45912</v>
      </c>
      <c r="F12" s="10">
        <v>45915</v>
      </c>
      <c r="G12" s="4">
        <f t="shared" si="0"/>
        <v>3</v>
      </c>
      <c r="H12" s="3" t="s">
        <v>20</v>
      </c>
      <c r="I12" s="11" t="s">
        <v>17</v>
      </c>
    </row>
    <row r="13" spans="1:9" x14ac:dyDescent="0.25">
      <c r="A13" s="4">
        <v>9</v>
      </c>
      <c r="B13" s="3" t="s">
        <v>31</v>
      </c>
      <c r="C13" s="3" t="s">
        <v>32</v>
      </c>
      <c r="D13" s="3" t="s">
        <v>15</v>
      </c>
      <c r="E13" s="10">
        <v>45912</v>
      </c>
      <c r="F13" s="10">
        <v>45915</v>
      </c>
      <c r="G13" s="4">
        <f>F13-E13</f>
        <v>3</v>
      </c>
      <c r="H13" s="3" t="s">
        <v>20</v>
      </c>
      <c r="I13" s="11" t="s">
        <v>17</v>
      </c>
    </row>
    <row r="14" spans="1:9" x14ac:dyDescent="0.25">
      <c r="A14" s="4">
        <v>10</v>
      </c>
      <c r="B14" s="16" t="s">
        <v>33</v>
      </c>
      <c r="C14" s="16" t="s">
        <v>34</v>
      </c>
      <c r="D14" s="20" t="s">
        <v>15</v>
      </c>
      <c r="E14" s="21">
        <v>45908</v>
      </c>
      <c r="F14" s="21">
        <v>45908</v>
      </c>
      <c r="G14" s="22">
        <f>F14-E14</f>
        <v>0</v>
      </c>
      <c r="H14" s="20"/>
      <c r="I14" s="11" t="s">
        <v>17</v>
      </c>
    </row>
    <row r="15" spans="1:9" x14ac:dyDescent="0.25">
      <c r="A15" s="4">
        <v>11</v>
      </c>
      <c r="B15" s="3" t="s">
        <v>35</v>
      </c>
      <c r="C15" s="3" t="s">
        <v>36</v>
      </c>
      <c r="D15" s="3" t="s">
        <v>15</v>
      </c>
      <c r="E15" s="23">
        <v>45908</v>
      </c>
      <c r="F15" s="23">
        <v>45908</v>
      </c>
      <c r="G15" s="24">
        <v>0</v>
      </c>
      <c r="H15" s="3" t="s">
        <v>20</v>
      </c>
      <c r="I15" s="11" t="s">
        <v>17</v>
      </c>
    </row>
    <row r="16" spans="1:9" x14ac:dyDescent="0.25">
      <c r="A16" s="4">
        <v>12</v>
      </c>
      <c r="B16" s="3" t="s">
        <v>37</v>
      </c>
      <c r="C16" s="3" t="s">
        <v>38</v>
      </c>
      <c r="D16" s="3" t="s">
        <v>39</v>
      </c>
      <c r="E16" s="23">
        <v>45908</v>
      </c>
      <c r="F16" s="23">
        <v>45908</v>
      </c>
      <c r="G16" s="24">
        <v>0</v>
      </c>
      <c r="H16" s="3" t="s">
        <v>40</v>
      </c>
      <c r="I16" s="11" t="s">
        <v>17</v>
      </c>
    </row>
    <row r="17" spans="1:11" x14ac:dyDescent="0.25">
      <c r="A17" s="4">
        <v>13</v>
      </c>
      <c r="B17" s="16" t="s">
        <v>41</v>
      </c>
      <c r="C17" s="16" t="s">
        <v>42</v>
      </c>
      <c r="D17" s="17" t="s">
        <v>15</v>
      </c>
      <c r="E17" s="18">
        <v>45915</v>
      </c>
      <c r="F17" s="18">
        <v>45920</v>
      </c>
      <c r="G17" s="22">
        <f>F17-E17</f>
        <v>5</v>
      </c>
      <c r="H17" s="17"/>
      <c r="I17" s="11" t="s">
        <v>17</v>
      </c>
    </row>
    <row r="18" spans="1:11" x14ac:dyDescent="0.25">
      <c r="A18" s="4">
        <v>14</v>
      </c>
      <c r="B18" s="25" t="s">
        <v>43</v>
      </c>
      <c r="C18" s="26" t="s">
        <v>44</v>
      </c>
      <c r="D18" s="3" t="s">
        <v>45</v>
      </c>
      <c r="E18" s="27">
        <v>45915</v>
      </c>
      <c r="F18" s="27">
        <v>45917</v>
      </c>
      <c r="G18" s="4">
        <f t="shared" ref="G18:G19" si="1">F18-E18</f>
        <v>2</v>
      </c>
      <c r="H18" s="3" t="s">
        <v>20</v>
      </c>
      <c r="I18" s="11" t="s">
        <v>17</v>
      </c>
    </row>
    <row r="19" spans="1:11" x14ac:dyDescent="0.25">
      <c r="A19" s="4">
        <v>15</v>
      </c>
      <c r="B19" s="3" t="s">
        <v>46</v>
      </c>
      <c r="C19" s="26" t="s">
        <v>47</v>
      </c>
      <c r="D19" s="3" t="s">
        <v>45</v>
      </c>
      <c r="E19" s="27">
        <v>45915</v>
      </c>
      <c r="F19" s="27">
        <v>45917</v>
      </c>
      <c r="G19" s="4">
        <f t="shared" si="1"/>
        <v>2</v>
      </c>
      <c r="H19" s="3" t="s">
        <v>20</v>
      </c>
      <c r="I19" s="11" t="s">
        <v>17</v>
      </c>
    </row>
    <row r="20" spans="1:11" x14ac:dyDescent="0.25">
      <c r="A20" s="4">
        <v>16</v>
      </c>
      <c r="B20" s="3" t="s">
        <v>48</v>
      </c>
      <c r="C20" s="3" t="s">
        <v>49</v>
      </c>
      <c r="D20" s="3" t="s">
        <v>45</v>
      </c>
      <c r="E20" s="27">
        <v>45915</v>
      </c>
      <c r="F20" s="27">
        <v>45917</v>
      </c>
      <c r="G20" s="4">
        <f>F20-E20</f>
        <v>2</v>
      </c>
      <c r="H20" s="3" t="s">
        <v>20</v>
      </c>
      <c r="I20" s="11" t="s">
        <v>17</v>
      </c>
    </row>
    <row r="21" spans="1:11" x14ac:dyDescent="0.25">
      <c r="A21" s="4">
        <v>17</v>
      </c>
      <c r="B21" s="3" t="s">
        <v>50</v>
      </c>
      <c r="C21" s="26" t="s">
        <v>51</v>
      </c>
      <c r="D21" s="3" t="s">
        <v>45</v>
      </c>
      <c r="E21" s="27">
        <v>45915</v>
      </c>
      <c r="F21" s="27">
        <v>45917</v>
      </c>
      <c r="G21" s="4">
        <f t="shared" ref="G21:G22" si="2">F21-E21</f>
        <v>2</v>
      </c>
      <c r="H21" s="3" t="s">
        <v>20</v>
      </c>
      <c r="I21" s="11" t="s">
        <v>17</v>
      </c>
    </row>
    <row r="22" spans="1:11" x14ac:dyDescent="0.25">
      <c r="A22" s="4">
        <v>18</v>
      </c>
      <c r="B22" s="3" t="s">
        <v>52</v>
      </c>
      <c r="C22" s="3" t="s">
        <v>53</v>
      </c>
      <c r="D22" s="3" t="s">
        <v>45</v>
      </c>
      <c r="E22" s="27">
        <v>45915</v>
      </c>
      <c r="F22" s="27">
        <v>45917</v>
      </c>
      <c r="G22" s="4">
        <f t="shared" si="2"/>
        <v>2</v>
      </c>
      <c r="H22" s="3" t="s">
        <v>20</v>
      </c>
      <c r="I22" s="11" t="s">
        <v>17</v>
      </c>
    </row>
    <row r="23" spans="1:11" x14ac:dyDescent="0.25">
      <c r="A23" s="4">
        <v>19</v>
      </c>
      <c r="B23" s="3" t="s">
        <v>54</v>
      </c>
      <c r="C23" s="3" t="s">
        <v>55</v>
      </c>
      <c r="D23" s="3" t="s">
        <v>56</v>
      </c>
      <c r="E23" s="27">
        <v>45917</v>
      </c>
      <c r="F23" s="27">
        <v>45917</v>
      </c>
      <c r="G23" s="4">
        <f t="shared" ref="G23" si="3">F23-E23</f>
        <v>0</v>
      </c>
      <c r="H23" s="3" t="s">
        <v>40</v>
      </c>
      <c r="I23" s="11" t="s">
        <v>17</v>
      </c>
    </row>
    <row r="24" spans="1:11" ht="30" x14ac:dyDescent="0.25">
      <c r="A24" s="4">
        <v>20</v>
      </c>
      <c r="B24" s="25" t="s">
        <v>57</v>
      </c>
      <c r="C24" s="26" t="s">
        <v>58</v>
      </c>
      <c r="D24" s="3" t="s">
        <v>56</v>
      </c>
      <c r="E24" s="10">
        <v>45917</v>
      </c>
      <c r="F24" s="10">
        <v>45917</v>
      </c>
      <c r="G24" s="4">
        <v>0</v>
      </c>
      <c r="H24" s="3" t="s">
        <v>40</v>
      </c>
      <c r="I24" s="11" t="s">
        <v>17</v>
      </c>
    </row>
    <row r="25" spans="1:11" x14ac:dyDescent="0.25">
      <c r="A25" s="4">
        <v>21</v>
      </c>
      <c r="B25" s="3" t="s">
        <v>59</v>
      </c>
      <c r="C25" s="26" t="s">
        <v>60</v>
      </c>
      <c r="D25" s="3" t="s">
        <v>45</v>
      </c>
      <c r="E25" s="27">
        <v>45917</v>
      </c>
      <c r="F25" s="27">
        <v>45920</v>
      </c>
      <c r="G25" s="4">
        <f>F25-E25</f>
        <v>3</v>
      </c>
      <c r="H25" s="3" t="s">
        <v>20</v>
      </c>
      <c r="I25" s="11" t="s">
        <v>17</v>
      </c>
    </row>
    <row r="26" spans="1:11" x14ac:dyDescent="0.25">
      <c r="A26" s="4">
        <v>22</v>
      </c>
      <c r="B26" s="3" t="s">
        <v>61</v>
      </c>
      <c r="C26" s="26" t="s">
        <v>62</v>
      </c>
      <c r="D26" s="3" t="s">
        <v>45</v>
      </c>
      <c r="E26" s="27">
        <v>45917</v>
      </c>
      <c r="F26" s="27">
        <v>45920</v>
      </c>
      <c r="G26" s="4">
        <f>F26-E26</f>
        <v>3</v>
      </c>
      <c r="H26" s="3" t="s">
        <v>20</v>
      </c>
      <c r="I26" s="11" t="s">
        <v>17</v>
      </c>
    </row>
    <row r="27" spans="1:11" x14ac:dyDescent="0.25">
      <c r="A27" s="4">
        <v>23</v>
      </c>
      <c r="B27" s="3" t="s">
        <v>63</v>
      </c>
      <c r="C27" s="3" t="s">
        <v>64</v>
      </c>
      <c r="D27" s="3" t="s">
        <v>45</v>
      </c>
      <c r="E27" s="27">
        <v>45917</v>
      </c>
      <c r="F27" s="27">
        <v>45920</v>
      </c>
      <c r="G27" s="4">
        <f>F27-E27</f>
        <v>3</v>
      </c>
      <c r="H27" s="3" t="s">
        <v>20</v>
      </c>
      <c r="I27" s="11" t="s">
        <v>17</v>
      </c>
    </row>
    <row r="28" spans="1:11" x14ac:dyDescent="0.25">
      <c r="A28" s="4">
        <v>24</v>
      </c>
      <c r="B28" s="3" t="s">
        <v>65</v>
      </c>
      <c r="C28" s="26" t="s">
        <v>66</v>
      </c>
      <c r="D28" s="3" t="s">
        <v>45</v>
      </c>
      <c r="E28" s="27">
        <v>45917</v>
      </c>
      <c r="F28" s="27">
        <v>45920</v>
      </c>
      <c r="G28" s="4">
        <f t="shared" ref="G28:G31" si="4">F28-E28</f>
        <v>3</v>
      </c>
      <c r="H28" s="3" t="s">
        <v>20</v>
      </c>
      <c r="I28" s="11" t="s">
        <v>17</v>
      </c>
    </row>
    <row r="29" spans="1:11" x14ac:dyDescent="0.25">
      <c r="A29" s="4">
        <v>25</v>
      </c>
      <c r="B29" s="3" t="s">
        <v>67</v>
      </c>
      <c r="C29" s="3" t="s">
        <v>68</v>
      </c>
      <c r="D29" s="3" t="s">
        <v>45</v>
      </c>
      <c r="E29" s="27">
        <v>45917</v>
      </c>
      <c r="F29" s="27">
        <v>45920</v>
      </c>
      <c r="G29" s="4">
        <f t="shared" si="4"/>
        <v>3</v>
      </c>
      <c r="H29" s="3" t="s">
        <v>20</v>
      </c>
      <c r="I29" s="11" t="s">
        <v>17</v>
      </c>
    </row>
    <row r="30" spans="1:11" x14ac:dyDescent="0.25">
      <c r="A30" s="4">
        <v>26</v>
      </c>
      <c r="B30" s="25" t="s">
        <v>69</v>
      </c>
      <c r="C30" s="3" t="s">
        <v>70</v>
      </c>
      <c r="D30" s="3" t="s">
        <v>45</v>
      </c>
      <c r="E30" s="10">
        <v>45920</v>
      </c>
      <c r="F30" s="10">
        <v>45920</v>
      </c>
      <c r="G30" s="4">
        <f t="shared" si="4"/>
        <v>0</v>
      </c>
      <c r="H30" s="3" t="s">
        <v>40</v>
      </c>
      <c r="I30" s="11" t="s">
        <v>17</v>
      </c>
    </row>
    <row r="31" spans="1:11" x14ac:dyDescent="0.25">
      <c r="A31" s="4">
        <v>27</v>
      </c>
      <c r="B31" s="16" t="s">
        <v>71</v>
      </c>
      <c r="C31" s="16" t="s">
        <v>72</v>
      </c>
      <c r="D31" s="17" t="s">
        <v>15</v>
      </c>
      <c r="E31" s="18">
        <v>45921</v>
      </c>
      <c r="F31" s="18">
        <v>45950</v>
      </c>
      <c r="G31" s="19">
        <f t="shared" si="4"/>
        <v>29</v>
      </c>
      <c r="H31" s="17"/>
      <c r="I31" s="11" t="s">
        <v>17</v>
      </c>
      <c r="K31" s="29"/>
    </row>
    <row r="32" spans="1:11" x14ac:dyDescent="0.25">
      <c r="A32" s="4">
        <v>28</v>
      </c>
      <c r="B32" s="3" t="s">
        <v>73</v>
      </c>
      <c r="C32" s="3" t="s">
        <v>74</v>
      </c>
      <c r="D32" s="3" t="s">
        <v>15</v>
      </c>
      <c r="E32" s="10">
        <v>45921</v>
      </c>
      <c r="F32" s="10">
        <v>45939</v>
      </c>
      <c r="G32" s="4">
        <f>F32-E32</f>
        <v>18</v>
      </c>
      <c r="H32" s="3" t="s">
        <v>20</v>
      </c>
      <c r="I32" s="11" t="s">
        <v>17</v>
      </c>
    </row>
    <row r="33" spans="1:9" x14ac:dyDescent="0.25">
      <c r="A33" s="4">
        <v>29</v>
      </c>
      <c r="B33" s="3" t="s">
        <v>75</v>
      </c>
      <c r="C33" s="3" t="s">
        <v>76</v>
      </c>
      <c r="D33" s="3" t="s">
        <v>15</v>
      </c>
      <c r="E33" s="10">
        <v>45921</v>
      </c>
      <c r="F33" s="10">
        <v>45939</v>
      </c>
      <c r="G33" s="4">
        <f>F33-E33</f>
        <v>18</v>
      </c>
      <c r="H33" s="3" t="s">
        <v>20</v>
      </c>
      <c r="I33" s="11" t="s">
        <v>17</v>
      </c>
    </row>
    <row r="34" spans="1:9" x14ac:dyDescent="0.25">
      <c r="A34" s="4">
        <v>30</v>
      </c>
      <c r="B34" s="3" t="s">
        <v>77</v>
      </c>
      <c r="C34" s="3" t="s">
        <v>78</v>
      </c>
      <c r="D34" s="3" t="s">
        <v>15</v>
      </c>
      <c r="E34" s="10">
        <v>45921</v>
      </c>
      <c r="F34" s="10">
        <v>45939</v>
      </c>
      <c r="G34" s="4">
        <f>F34-E34</f>
        <v>18</v>
      </c>
      <c r="H34" s="3" t="s">
        <v>20</v>
      </c>
      <c r="I34" s="11" t="s">
        <v>17</v>
      </c>
    </row>
    <row r="35" spans="1:9" ht="60" x14ac:dyDescent="0.25">
      <c r="A35" s="4">
        <v>31</v>
      </c>
      <c r="B35" s="3" t="s">
        <v>79</v>
      </c>
      <c r="C35" s="3" t="s">
        <v>80</v>
      </c>
      <c r="D35" s="3"/>
      <c r="E35" s="10">
        <v>45920</v>
      </c>
      <c r="F35" s="10"/>
      <c r="G35" s="4"/>
      <c r="H35" s="3" t="s">
        <v>81</v>
      </c>
      <c r="I35" s="26" t="s">
        <v>82</v>
      </c>
    </row>
    <row r="36" spans="1:9" ht="60" x14ac:dyDescent="0.25">
      <c r="A36" s="4">
        <v>32</v>
      </c>
      <c r="B36" s="3" t="s">
        <v>83</v>
      </c>
      <c r="C36" s="3" t="s">
        <v>84</v>
      </c>
      <c r="D36" s="3"/>
      <c r="E36" s="10">
        <v>45939</v>
      </c>
      <c r="F36" s="10"/>
      <c r="G36" s="4"/>
      <c r="H36" s="3" t="s">
        <v>81</v>
      </c>
      <c r="I36" s="26" t="s">
        <v>85</v>
      </c>
    </row>
    <row r="37" spans="1:9" x14ac:dyDescent="0.25">
      <c r="A37" s="4">
        <v>33</v>
      </c>
      <c r="B37" s="3" t="s">
        <v>86</v>
      </c>
      <c r="C37" s="3" t="s">
        <v>87</v>
      </c>
      <c r="D37" s="3" t="s">
        <v>39</v>
      </c>
      <c r="E37" s="10">
        <v>45921</v>
      </c>
      <c r="F37" s="10">
        <v>45939</v>
      </c>
      <c r="G37" s="4">
        <f t="shared" ref="G37:G41" si="5">F37-E37</f>
        <v>18</v>
      </c>
      <c r="H37" s="3" t="s">
        <v>20</v>
      </c>
      <c r="I37" s="4" t="s">
        <v>17</v>
      </c>
    </row>
    <row r="38" spans="1:9" x14ac:dyDescent="0.25">
      <c r="A38" s="4">
        <v>34</v>
      </c>
      <c r="B38" s="3" t="s">
        <v>88</v>
      </c>
      <c r="C38" s="3" t="s">
        <v>89</v>
      </c>
      <c r="D38" s="3" t="s">
        <v>15</v>
      </c>
      <c r="E38" s="10">
        <v>45940</v>
      </c>
      <c r="F38" s="10">
        <v>45950</v>
      </c>
      <c r="G38" s="4">
        <f t="shared" si="5"/>
        <v>10</v>
      </c>
      <c r="H38" s="3" t="s">
        <v>20</v>
      </c>
      <c r="I38" s="4" t="s">
        <v>17</v>
      </c>
    </row>
    <row r="39" spans="1:9" x14ac:dyDescent="0.25">
      <c r="A39" s="4">
        <v>35</v>
      </c>
      <c r="B39" s="3" t="s">
        <v>90</v>
      </c>
      <c r="C39" s="3" t="s">
        <v>91</v>
      </c>
      <c r="D39" s="3" t="s">
        <v>15</v>
      </c>
      <c r="E39" s="10">
        <v>45940</v>
      </c>
      <c r="F39" s="10">
        <v>45950</v>
      </c>
      <c r="G39" s="4">
        <f t="shared" si="5"/>
        <v>10</v>
      </c>
      <c r="H39" s="3" t="s">
        <v>20</v>
      </c>
      <c r="I39" s="4" t="s">
        <v>17</v>
      </c>
    </row>
    <row r="40" spans="1:9" x14ac:dyDescent="0.25">
      <c r="A40" s="4">
        <v>36</v>
      </c>
      <c r="B40" s="3" t="s">
        <v>92</v>
      </c>
      <c r="C40" s="3" t="s">
        <v>93</v>
      </c>
      <c r="D40" s="3" t="s">
        <v>15</v>
      </c>
      <c r="E40" s="10">
        <v>45940</v>
      </c>
      <c r="F40" s="10">
        <v>45950</v>
      </c>
      <c r="G40" s="4">
        <f t="shared" si="5"/>
        <v>10</v>
      </c>
      <c r="H40" s="3" t="s">
        <v>20</v>
      </c>
      <c r="I40" s="4" t="s">
        <v>17</v>
      </c>
    </row>
    <row r="41" spans="1:9" x14ac:dyDescent="0.25">
      <c r="A41" s="4">
        <v>37</v>
      </c>
      <c r="B41" s="3" t="s">
        <v>94</v>
      </c>
      <c r="C41" s="3" t="s">
        <v>95</v>
      </c>
      <c r="D41" s="3" t="s">
        <v>39</v>
      </c>
      <c r="E41" s="10">
        <v>45940</v>
      </c>
      <c r="F41" s="10">
        <v>45950</v>
      </c>
      <c r="G41" s="4">
        <f t="shared" si="5"/>
        <v>10</v>
      </c>
      <c r="H41" s="3" t="s">
        <v>40</v>
      </c>
      <c r="I41" s="4" t="s">
        <v>17</v>
      </c>
    </row>
    <row r="42" spans="1:9" x14ac:dyDescent="0.25">
      <c r="A42" s="4">
        <v>38</v>
      </c>
      <c r="B42" s="3" t="s">
        <v>165</v>
      </c>
      <c r="C42" s="3" t="s">
        <v>166</v>
      </c>
      <c r="D42" s="3" t="s">
        <v>15</v>
      </c>
      <c r="E42" s="10">
        <v>45951</v>
      </c>
      <c r="F42" s="10">
        <f>E42+3</f>
        <v>45954</v>
      </c>
      <c r="G42" s="4">
        <v>4</v>
      </c>
      <c r="H42" s="3" t="s">
        <v>20</v>
      </c>
      <c r="I42" s="4"/>
    </row>
    <row r="43" spans="1:9" x14ac:dyDescent="0.25">
      <c r="A43" s="4">
        <v>39</v>
      </c>
      <c r="B43" s="3" t="s">
        <v>170</v>
      </c>
      <c r="C43" s="3" t="s">
        <v>167</v>
      </c>
      <c r="D43" s="3" t="s">
        <v>15</v>
      </c>
      <c r="E43" s="10">
        <v>45955</v>
      </c>
      <c r="F43" s="10">
        <f>E43+5</f>
        <v>45960</v>
      </c>
      <c r="G43" s="4">
        <v>6</v>
      </c>
      <c r="H43" s="3" t="s">
        <v>20</v>
      </c>
      <c r="I43" s="4"/>
    </row>
    <row r="44" spans="1:9" x14ac:dyDescent="0.25">
      <c r="A44" s="4">
        <v>40</v>
      </c>
      <c r="B44" s="3" t="s">
        <v>171</v>
      </c>
      <c r="C44" s="3" t="s">
        <v>168</v>
      </c>
      <c r="D44" s="3" t="s">
        <v>15</v>
      </c>
      <c r="E44" s="10">
        <v>45961</v>
      </c>
      <c r="F44" s="10">
        <f>E44+3</f>
        <v>45964</v>
      </c>
      <c r="G44" s="4">
        <v>5</v>
      </c>
      <c r="H44" s="3" t="s">
        <v>20</v>
      </c>
      <c r="I44" s="4"/>
    </row>
    <row r="45" spans="1:9" x14ac:dyDescent="0.25">
      <c r="A45" s="4">
        <v>41</v>
      </c>
      <c r="B45" s="3" t="s">
        <v>172</v>
      </c>
      <c r="C45" s="3" t="s">
        <v>169</v>
      </c>
      <c r="D45" s="3" t="s">
        <v>39</v>
      </c>
      <c r="E45" s="10">
        <v>45950</v>
      </c>
      <c r="F45" s="10">
        <f>F41+15</f>
        <v>45965</v>
      </c>
      <c r="G45" s="4">
        <f t="shared" ref="G43:G45" si="6">F45-E45</f>
        <v>15</v>
      </c>
      <c r="H45" s="3" t="s">
        <v>40</v>
      </c>
      <c r="I45" s="4"/>
    </row>
    <row r="46" spans="1:9" x14ac:dyDescent="0.25">
      <c r="A46" s="4">
        <v>42</v>
      </c>
      <c r="B46" s="16" t="s">
        <v>96</v>
      </c>
      <c r="C46" s="16" t="s">
        <v>97</v>
      </c>
      <c r="D46" s="17"/>
      <c r="E46" s="18">
        <f>E5+90</f>
        <v>45998</v>
      </c>
      <c r="F46" s="18">
        <f>E46+100</f>
        <v>46098</v>
      </c>
      <c r="G46" s="19">
        <f>F46-E46</f>
        <v>100</v>
      </c>
      <c r="H46" s="17" t="s">
        <v>16</v>
      </c>
      <c r="I46" s="4" t="s">
        <v>17</v>
      </c>
    </row>
    <row r="47" spans="1:9" x14ac:dyDescent="0.25">
      <c r="A47" s="4">
        <v>43</v>
      </c>
      <c r="B47" s="3" t="s">
        <v>98</v>
      </c>
      <c r="C47" s="3" t="s">
        <v>99</v>
      </c>
      <c r="D47" s="3" t="s">
        <v>15</v>
      </c>
      <c r="E47" s="10"/>
      <c r="F47" s="10"/>
      <c r="G47" s="4"/>
      <c r="H47" s="3" t="s">
        <v>16</v>
      </c>
      <c r="I47" s="4" t="s">
        <v>17</v>
      </c>
    </row>
    <row r="48" spans="1:9" x14ac:dyDescent="0.25">
      <c r="A48" s="4">
        <v>44</v>
      </c>
      <c r="B48" s="3" t="s">
        <v>100</v>
      </c>
      <c r="C48" s="3" t="s">
        <v>101</v>
      </c>
      <c r="D48" s="3" t="s">
        <v>15</v>
      </c>
      <c r="E48" s="10"/>
      <c r="F48" s="10"/>
      <c r="G48" s="4"/>
      <c r="H48" s="3" t="s">
        <v>16</v>
      </c>
      <c r="I48" s="4" t="s">
        <v>17</v>
      </c>
    </row>
    <row r="49" spans="1:9" x14ac:dyDescent="0.25">
      <c r="A49" s="4">
        <v>45</v>
      </c>
      <c r="B49" s="3" t="s">
        <v>102</v>
      </c>
      <c r="C49" s="3" t="s">
        <v>103</v>
      </c>
      <c r="D49" s="3" t="s">
        <v>15</v>
      </c>
      <c r="E49" s="10"/>
      <c r="F49" s="10"/>
      <c r="G49" s="4"/>
      <c r="H49" s="3" t="s">
        <v>16</v>
      </c>
      <c r="I49" s="4" t="s">
        <v>17</v>
      </c>
    </row>
    <row r="50" spans="1:9" x14ac:dyDescent="0.25">
      <c r="A50" s="4">
        <v>46</v>
      </c>
      <c r="B50" s="3" t="s">
        <v>104</v>
      </c>
      <c r="C50" s="3" t="s">
        <v>105</v>
      </c>
      <c r="D50" s="3" t="s">
        <v>15</v>
      </c>
      <c r="E50" s="11"/>
      <c r="F50" s="11"/>
      <c r="G50" s="4"/>
      <c r="H50" s="3" t="s">
        <v>16</v>
      </c>
      <c r="I50" s="4" t="s">
        <v>17</v>
      </c>
    </row>
    <row r="51" spans="1:9" x14ac:dyDescent="0.25">
      <c r="A51" s="4">
        <v>47</v>
      </c>
      <c r="B51" s="3" t="s">
        <v>106</v>
      </c>
      <c r="C51" s="3" t="s">
        <v>107</v>
      </c>
      <c r="D51" s="3" t="s">
        <v>15</v>
      </c>
      <c r="E51" s="10"/>
      <c r="F51" s="10"/>
      <c r="G51" s="4"/>
      <c r="H51" s="3" t="s">
        <v>16</v>
      </c>
      <c r="I51" s="4" t="s">
        <v>17</v>
      </c>
    </row>
    <row r="52" spans="1:9" x14ac:dyDescent="0.25">
      <c r="A52" s="4">
        <v>48</v>
      </c>
      <c r="B52" s="16" t="s">
        <v>108</v>
      </c>
      <c r="C52" s="16" t="s">
        <v>109</v>
      </c>
      <c r="D52" s="17"/>
      <c r="E52" s="18">
        <v>46101</v>
      </c>
      <c r="F52" s="18">
        <f>E52+30</f>
        <v>46131</v>
      </c>
      <c r="G52" s="28">
        <f>F52-E52</f>
        <v>30</v>
      </c>
      <c r="H52" s="3" t="s">
        <v>110</v>
      </c>
      <c r="I52" s="4" t="s">
        <v>17</v>
      </c>
    </row>
    <row r="53" spans="1:9" x14ac:dyDescent="0.25">
      <c r="A53" s="4">
        <v>49</v>
      </c>
      <c r="B53" s="3" t="s">
        <v>111</v>
      </c>
      <c r="C53" s="3" t="s">
        <v>112</v>
      </c>
      <c r="D53" s="3" t="s">
        <v>15</v>
      </c>
      <c r="E53" s="10"/>
      <c r="F53" s="10"/>
      <c r="G53" s="4"/>
      <c r="H53" s="3" t="s">
        <v>110</v>
      </c>
      <c r="I53" s="4" t="s">
        <v>17</v>
      </c>
    </row>
    <row r="54" spans="1:9" x14ac:dyDescent="0.25">
      <c r="A54" s="4">
        <v>50</v>
      </c>
      <c r="B54" s="3" t="s">
        <v>113</v>
      </c>
      <c r="C54" s="3" t="s">
        <v>114</v>
      </c>
      <c r="D54" s="3" t="s">
        <v>15</v>
      </c>
      <c r="E54" s="10"/>
      <c r="F54" s="10"/>
      <c r="G54" s="4"/>
      <c r="H54" s="3" t="s">
        <v>110</v>
      </c>
      <c r="I54" s="4" t="s">
        <v>17</v>
      </c>
    </row>
    <row r="55" spans="1:9" x14ac:dyDescent="0.25">
      <c r="A55" s="4">
        <v>51</v>
      </c>
      <c r="B55" s="3" t="s">
        <v>115</v>
      </c>
      <c r="C55" s="3" t="s">
        <v>116</v>
      </c>
      <c r="D55" s="3" t="s">
        <v>15</v>
      </c>
      <c r="E55" s="10"/>
      <c r="F55" s="10"/>
      <c r="G55" s="4"/>
      <c r="H55" s="3" t="s">
        <v>110</v>
      </c>
      <c r="I55" s="4" t="s">
        <v>17</v>
      </c>
    </row>
    <row r="56" spans="1:9" x14ac:dyDescent="0.25">
      <c r="A56" s="4">
        <v>52</v>
      </c>
      <c r="B56" s="3" t="s">
        <v>117</v>
      </c>
      <c r="C56" s="3" t="s">
        <v>118</v>
      </c>
      <c r="D56" s="3" t="s">
        <v>15</v>
      </c>
      <c r="E56" s="10"/>
      <c r="F56" s="10"/>
      <c r="G56" s="4"/>
      <c r="H56" s="3" t="s">
        <v>110</v>
      </c>
      <c r="I56" s="4" t="s">
        <v>17</v>
      </c>
    </row>
    <row r="57" spans="1:9" x14ac:dyDescent="0.25">
      <c r="A57" s="4">
        <v>53</v>
      </c>
      <c r="B57" s="3" t="s">
        <v>119</v>
      </c>
      <c r="C57" s="3" t="s">
        <v>120</v>
      </c>
      <c r="D57" s="3" t="s">
        <v>15</v>
      </c>
      <c r="E57" s="10"/>
      <c r="F57" s="10"/>
      <c r="G57" s="4"/>
      <c r="H57" s="3" t="s">
        <v>110</v>
      </c>
      <c r="I57" s="4" t="s">
        <v>17</v>
      </c>
    </row>
    <row r="58" spans="1:9" x14ac:dyDescent="0.25">
      <c r="A58" s="4">
        <v>54</v>
      </c>
      <c r="B58" s="3" t="s">
        <v>121</v>
      </c>
      <c r="C58" s="3" t="s">
        <v>122</v>
      </c>
      <c r="D58" s="3" t="s">
        <v>15</v>
      </c>
      <c r="E58" s="10"/>
      <c r="F58" s="10"/>
      <c r="G58" s="4"/>
      <c r="H58" s="3" t="s">
        <v>110</v>
      </c>
      <c r="I58" s="4" t="s">
        <v>17</v>
      </c>
    </row>
    <row r="59" spans="1:9" x14ac:dyDescent="0.25">
      <c r="A59" s="4">
        <v>55</v>
      </c>
      <c r="B59" s="3" t="s">
        <v>123</v>
      </c>
      <c r="C59" s="3" t="s">
        <v>124</v>
      </c>
      <c r="D59" s="3" t="s">
        <v>15</v>
      </c>
      <c r="E59" s="10"/>
      <c r="F59" s="10"/>
      <c r="G59" s="4"/>
      <c r="H59" s="3" t="s">
        <v>110</v>
      </c>
      <c r="I59" s="4" t="s">
        <v>17</v>
      </c>
    </row>
    <row r="60" spans="1:9" x14ac:dyDescent="0.25">
      <c r="A60" s="4">
        <v>56</v>
      </c>
      <c r="B60" s="3" t="s">
        <v>125</v>
      </c>
      <c r="C60" s="3" t="s">
        <v>126</v>
      </c>
      <c r="D60" s="3" t="s">
        <v>45</v>
      </c>
      <c r="E60" s="10"/>
      <c r="F60" s="10"/>
      <c r="G60" s="4"/>
      <c r="H60" s="3" t="s">
        <v>110</v>
      </c>
      <c r="I60" s="4" t="s">
        <v>17</v>
      </c>
    </row>
    <row r="61" spans="1:9" x14ac:dyDescent="0.25">
      <c r="A61" s="4">
        <v>57</v>
      </c>
      <c r="B61" s="3" t="s">
        <v>127</v>
      </c>
      <c r="C61" s="3" t="s">
        <v>128</v>
      </c>
      <c r="D61" s="3" t="s">
        <v>15</v>
      </c>
      <c r="E61" s="10"/>
      <c r="F61" s="10"/>
      <c r="G61" s="4"/>
      <c r="H61" s="3" t="s">
        <v>110</v>
      </c>
      <c r="I61" s="4" t="s">
        <v>17</v>
      </c>
    </row>
    <row r="62" spans="1:9" x14ac:dyDescent="0.25">
      <c r="A62" s="4">
        <v>58</v>
      </c>
      <c r="B62" s="16" t="s">
        <v>129</v>
      </c>
      <c r="C62" s="16" t="s">
        <v>130</v>
      </c>
      <c r="D62" s="17"/>
      <c r="E62" s="18">
        <v>46132</v>
      </c>
      <c r="F62" s="18">
        <f>E62+30</f>
        <v>46162</v>
      </c>
      <c r="G62" s="19">
        <f t="shared" ref="G62:G68" si="7">F62-E62</f>
        <v>30</v>
      </c>
      <c r="H62" s="3" t="s">
        <v>110</v>
      </c>
      <c r="I62" s="4" t="s">
        <v>17</v>
      </c>
    </row>
    <row r="63" spans="1:9" x14ac:dyDescent="0.25">
      <c r="A63" s="4">
        <v>59</v>
      </c>
      <c r="B63" s="3" t="s">
        <v>131</v>
      </c>
      <c r="C63" s="3" t="s">
        <v>132</v>
      </c>
      <c r="D63" s="3" t="s">
        <v>15</v>
      </c>
      <c r="E63" s="10"/>
      <c r="F63" s="10"/>
      <c r="G63" s="4"/>
      <c r="H63" s="3" t="s">
        <v>110</v>
      </c>
      <c r="I63" s="4" t="s">
        <v>17</v>
      </c>
    </row>
    <row r="64" spans="1:9" x14ac:dyDescent="0.25">
      <c r="A64" s="4">
        <v>60</v>
      </c>
      <c r="B64" s="3" t="s">
        <v>133</v>
      </c>
      <c r="C64" s="3" t="s">
        <v>134</v>
      </c>
      <c r="D64" s="3" t="s">
        <v>15</v>
      </c>
      <c r="E64" s="10"/>
      <c r="F64" s="10"/>
      <c r="G64" s="4"/>
      <c r="H64" s="3" t="s">
        <v>110</v>
      </c>
      <c r="I64" s="4" t="s">
        <v>17</v>
      </c>
    </row>
    <row r="65" spans="1:9" x14ac:dyDescent="0.25">
      <c r="A65" s="4">
        <v>61</v>
      </c>
      <c r="B65" s="3" t="s">
        <v>135</v>
      </c>
      <c r="C65" s="3" t="s">
        <v>136</v>
      </c>
      <c r="D65" s="3" t="s">
        <v>15</v>
      </c>
      <c r="E65" s="10"/>
      <c r="F65" s="10"/>
      <c r="G65" s="4"/>
      <c r="H65" s="3" t="s">
        <v>110</v>
      </c>
      <c r="I65" s="4" t="s">
        <v>17</v>
      </c>
    </row>
    <row r="66" spans="1:9" x14ac:dyDescent="0.25">
      <c r="A66" s="4">
        <v>62</v>
      </c>
      <c r="B66" s="3" t="s">
        <v>137</v>
      </c>
      <c r="C66" s="3" t="s">
        <v>138</v>
      </c>
      <c r="D66" s="3" t="s">
        <v>15</v>
      </c>
      <c r="E66" s="10"/>
      <c r="F66" s="10"/>
      <c r="G66" s="4"/>
      <c r="H66" s="3" t="s">
        <v>110</v>
      </c>
      <c r="I66" s="4" t="s">
        <v>17</v>
      </c>
    </row>
    <row r="67" spans="1:9" x14ac:dyDescent="0.25">
      <c r="A67" s="4">
        <v>63</v>
      </c>
      <c r="B67" s="3" t="s">
        <v>139</v>
      </c>
      <c r="C67" s="3" t="s">
        <v>140</v>
      </c>
      <c r="D67" s="3" t="s">
        <v>45</v>
      </c>
      <c r="E67" s="10"/>
      <c r="F67" s="10"/>
      <c r="G67" s="4"/>
      <c r="H67" s="3" t="s">
        <v>110</v>
      </c>
      <c r="I67" s="4" t="s">
        <v>17</v>
      </c>
    </row>
    <row r="68" spans="1:9" x14ac:dyDescent="0.25">
      <c r="A68" s="4">
        <v>64</v>
      </c>
      <c r="B68" s="16" t="s">
        <v>141</v>
      </c>
      <c r="C68" s="16" t="s">
        <v>142</v>
      </c>
      <c r="D68" s="17"/>
      <c r="E68" s="18">
        <v>46173</v>
      </c>
      <c r="F68" s="18">
        <f>E68+15</f>
        <v>46188</v>
      </c>
      <c r="G68" s="19">
        <f t="shared" si="7"/>
        <v>15</v>
      </c>
      <c r="H68" s="3" t="s">
        <v>110</v>
      </c>
      <c r="I68" s="4" t="s">
        <v>17</v>
      </c>
    </row>
    <row r="69" spans="1:9" x14ac:dyDescent="0.25">
      <c r="A69" s="4">
        <v>65</v>
      </c>
      <c r="B69" s="3" t="s">
        <v>143</v>
      </c>
      <c r="C69" s="3" t="s">
        <v>144</v>
      </c>
      <c r="D69" s="3" t="s">
        <v>15</v>
      </c>
      <c r="E69" s="10"/>
      <c r="F69" s="10"/>
      <c r="G69" s="4"/>
      <c r="H69" s="3" t="s">
        <v>110</v>
      </c>
      <c r="I69" s="4" t="s">
        <v>17</v>
      </c>
    </row>
    <row r="70" spans="1:9" x14ac:dyDescent="0.25">
      <c r="A70" s="4">
        <v>66</v>
      </c>
      <c r="B70" s="3" t="s">
        <v>145</v>
      </c>
      <c r="C70" s="3" t="s">
        <v>146</v>
      </c>
      <c r="D70" s="3" t="s">
        <v>15</v>
      </c>
      <c r="E70" s="10"/>
      <c r="F70" s="10"/>
      <c r="G70" s="4"/>
      <c r="H70" s="3" t="s">
        <v>110</v>
      </c>
      <c r="I70" s="4" t="s">
        <v>17</v>
      </c>
    </row>
    <row r="71" spans="1:9" x14ac:dyDescent="0.25">
      <c r="A71" s="4">
        <v>67</v>
      </c>
      <c r="B71" s="3" t="s">
        <v>147</v>
      </c>
      <c r="C71" s="3" t="s">
        <v>148</v>
      </c>
      <c r="D71" s="3" t="s">
        <v>15</v>
      </c>
      <c r="E71" s="10"/>
      <c r="F71" s="10"/>
      <c r="G71" s="4"/>
      <c r="H71" s="3" t="s">
        <v>110</v>
      </c>
      <c r="I71" s="4" t="s">
        <v>17</v>
      </c>
    </row>
    <row r="72" spans="1:9" x14ac:dyDescent="0.25">
      <c r="A72" s="4">
        <v>68</v>
      </c>
      <c r="B72" s="3" t="s">
        <v>149</v>
      </c>
      <c r="C72" s="3" t="s">
        <v>150</v>
      </c>
      <c r="D72" s="3" t="s">
        <v>45</v>
      </c>
      <c r="E72" s="10"/>
      <c r="F72" s="10"/>
      <c r="G72" s="4"/>
      <c r="H72" s="3" t="s">
        <v>110</v>
      </c>
      <c r="I72" s="4" t="s">
        <v>17</v>
      </c>
    </row>
    <row r="73" spans="1:9" x14ac:dyDescent="0.25">
      <c r="A73" s="4">
        <v>69</v>
      </c>
      <c r="B73" s="16" t="s">
        <v>151</v>
      </c>
      <c r="C73" s="16" t="s">
        <v>152</v>
      </c>
      <c r="D73" s="17"/>
      <c r="E73" s="18">
        <v>46188</v>
      </c>
      <c r="F73" s="18">
        <v>47004</v>
      </c>
      <c r="G73" s="19">
        <f>F73-E73</f>
        <v>816</v>
      </c>
      <c r="H73" s="3" t="s">
        <v>110</v>
      </c>
      <c r="I73" s="4" t="s">
        <v>17</v>
      </c>
    </row>
    <row r="74" spans="1:9" x14ac:dyDescent="0.25">
      <c r="A74" s="4">
        <v>70</v>
      </c>
      <c r="B74" s="3" t="s">
        <v>153</v>
      </c>
      <c r="C74" s="3" t="s">
        <v>154</v>
      </c>
      <c r="D74" s="3" t="s">
        <v>15</v>
      </c>
      <c r="E74" s="10"/>
      <c r="F74" s="10"/>
      <c r="G74" s="4"/>
      <c r="H74" s="3" t="s">
        <v>110</v>
      </c>
      <c r="I74" s="4" t="s">
        <v>17</v>
      </c>
    </row>
    <row r="75" spans="1:9" x14ac:dyDescent="0.25">
      <c r="A75" s="4">
        <v>71</v>
      </c>
      <c r="B75" s="3" t="s">
        <v>155</v>
      </c>
      <c r="C75" s="3" t="s">
        <v>156</v>
      </c>
      <c r="D75" s="3" t="s">
        <v>15</v>
      </c>
      <c r="E75" s="10"/>
      <c r="F75" s="10"/>
      <c r="G75" s="4"/>
      <c r="H75" s="3" t="s">
        <v>110</v>
      </c>
      <c r="I75" s="4" t="s">
        <v>17</v>
      </c>
    </row>
    <row r="76" spans="1:9" x14ac:dyDescent="0.25">
      <c r="A76" s="4">
        <v>72</v>
      </c>
      <c r="B76" s="3" t="s">
        <v>157</v>
      </c>
      <c r="C76" s="3" t="s">
        <v>158</v>
      </c>
      <c r="D76" s="3" t="s">
        <v>15</v>
      </c>
      <c r="E76" s="10"/>
      <c r="F76" s="10"/>
      <c r="G76" s="4"/>
      <c r="H76" s="3" t="s">
        <v>110</v>
      </c>
      <c r="I76" s="4" t="s">
        <v>17</v>
      </c>
    </row>
    <row r="77" spans="1:9" x14ac:dyDescent="0.25">
      <c r="A77" s="4">
        <v>73</v>
      </c>
      <c r="B77" s="3" t="s">
        <v>159</v>
      </c>
      <c r="C77" s="3" t="s">
        <v>160</v>
      </c>
      <c r="D77" s="3" t="s">
        <v>15</v>
      </c>
      <c r="E77" s="10"/>
      <c r="F77" s="10"/>
      <c r="G77" s="4"/>
      <c r="H77" s="3" t="s">
        <v>110</v>
      </c>
      <c r="I77" s="4" t="s">
        <v>17</v>
      </c>
    </row>
    <row r="78" spans="1:9" x14ac:dyDescent="0.25">
      <c r="A78" s="4">
        <v>74</v>
      </c>
      <c r="B78" s="3" t="s">
        <v>161</v>
      </c>
      <c r="C78" s="3" t="s">
        <v>162</v>
      </c>
      <c r="D78" s="3" t="s">
        <v>15</v>
      </c>
      <c r="E78" s="10"/>
      <c r="F78" s="10"/>
      <c r="G78" s="4"/>
      <c r="H78" s="3" t="s">
        <v>110</v>
      </c>
      <c r="I78" s="4" t="s">
        <v>17</v>
      </c>
    </row>
    <row r="79" spans="1:9" x14ac:dyDescent="0.25">
      <c r="A79" s="4">
        <v>75</v>
      </c>
      <c r="B79" s="3" t="s">
        <v>163</v>
      </c>
      <c r="C79" s="3" t="s">
        <v>164</v>
      </c>
      <c r="D79" s="3" t="s">
        <v>15</v>
      </c>
      <c r="E79" s="10"/>
      <c r="F79" s="10"/>
      <c r="G79" s="4"/>
      <c r="H79" s="3" t="s">
        <v>110</v>
      </c>
      <c r="I79" s="4" t="s">
        <v>17</v>
      </c>
    </row>
  </sheetData>
  <mergeCells count="4">
    <mergeCell ref="A1:B1"/>
    <mergeCell ref="D1:E1"/>
    <mergeCell ref="G1:G2"/>
    <mergeCell ref="D2:E2"/>
  </mergeCells>
  <phoneticPr fontId="1" type="noConversion"/>
  <pageMargins left="0.7" right="0.7" top="0.75" bottom="0.75" header="0.3" footer="0.3"/>
  <pageSetup orientation="portrait" r:id="rId1"/>
  <ignoredErrors>
    <ignoredError sqref="F4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 Revised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Ayush Srivastava</cp:lastModifiedBy>
  <cp:revision/>
  <dcterms:created xsi:type="dcterms:W3CDTF">2026-01-07T04:32:37Z</dcterms:created>
  <dcterms:modified xsi:type="dcterms:W3CDTF">2026-01-23T12:11:21Z</dcterms:modified>
  <cp:category/>
  <cp:contentStatus/>
</cp:coreProperties>
</file>